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adminmajor.sharepoint.com/sites/Comercial/Documentos Partilhados/03 - Pedro/04 - PLANILHAS VBA/"/>
    </mc:Choice>
  </mc:AlternateContent>
  <xr:revisionPtr revIDLastSave="2054" documentId="8_{F95050DD-E12F-44E6-AAEA-5CD5CD2F844D}" xr6:coauthVersionLast="47" xr6:coauthVersionMax="47" xr10:uidLastSave="{AB0F5312-E924-4D30-A28F-BE708FA2DE53}"/>
  <bookViews>
    <workbookView xWindow="-120" yWindow="-120" windowWidth="20730" windowHeight="11040" xr2:uid="{00000000-000D-0000-FFFF-FFFF00000000}"/>
  </bookViews>
  <sheets>
    <sheet name="AUTOMAÇÃO_RELATÓRIOS" sheetId="1" r:id="rId1"/>
  </sheets>
  <definedNames>
    <definedName name="AUTOMACAO">AUTOMAÇÃO_RELATÓRIOS!$A$1:$I$22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1" l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F14" i="1" l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10" i="1" l="1" a="1"/>
  <c r="F10" i="1" s="1"/>
  <c r="F2" i="1" l="1" a="1"/>
  <c r="F2" i="1" s="1"/>
  <c r="F3" i="1" a="1"/>
  <c r="F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1" i="1" a="1"/>
  <c r="F11" i="1" s="1"/>
  <c r="F12" i="1" a="1"/>
  <c r="F12" i="1" s="1"/>
  <c r="F13" i="1" a="1"/>
  <c r="F13" i="1" s="1"/>
  <c r="J14" i="1" l="1"/>
  <c r="J15" i="1"/>
  <c r="J16" i="1"/>
  <c r="J17" i="1"/>
  <c r="J18" i="1"/>
  <c r="J1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<sst xmlns="http://schemas.openxmlformats.org/spreadsheetml/2006/main" count="52" uniqueCount="12">
  <si>
    <t xml:space="preserve">E-MAIL </t>
  </si>
  <si>
    <t>RTV</t>
  </si>
  <si>
    <t>TEXTO</t>
  </si>
  <si>
    <t>RELATÓRIO</t>
  </si>
  <si>
    <t>CC</t>
  </si>
  <si>
    <t>DIRETÓRIO</t>
  </si>
  <si>
    <t xml:space="preserve">ENVIAR RELATÓRIO? </t>
  </si>
  <si>
    <t>RELATÓRIO ENVIADO?</t>
  </si>
  <si>
    <t>ASSUNTO</t>
  </si>
  <si>
    <t>-</t>
  </si>
  <si>
    <t>Segue em anexo o relatório de vendas com o seu desempenho no mês</t>
  </si>
  <si>
    <t>RELATÓRIO DE COMISSÕES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</si>
</sst>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0" fillId="0" borderId="0" xfId="0" applyNumberFormat="1" applyAlignment="1">
      <alignment horizontal="left" vertical="top" wrapText="1"/>
    </xf>
    <xf numFmtId="0" fontId="2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/>
  </cellXfs>
  <cellStyles count="1">
    <cellStyle name="Normal" xfId="0" builtinId="0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fgColor auto="1"/>
          <bgColor theme="9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50132</xdr:colOff>
      <xdr:row>3</xdr:row>
      <xdr:rowOff>70185</xdr:rowOff>
    </xdr:from>
    <xdr:to>
      <xdr:col>7</xdr:col>
      <xdr:colOff>2330416</xdr:colOff>
      <xdr:row>5</xdr:row>
      <xdr:rowOff>157815</xdr:rowOff>
    </xdr:to>
    <xdr:sp macro="[0]!Planilha1.enviar_email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11B97B7C-EB4E-4B83-8E58-65A3456B8589}"/>
            </a:ext>
          </a:extLst>
        </xdr:cNvPr>
        <xdr:cNvSpPr/>
      </xdr:nvSpPr>
      <xdr:spPr>
        <a:xfrm>
          <a:off x="17997237" y="651711"/>
          <a:ext cx="2280284" cy="468630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ENVIAR</a:t>
          </a:r>
          <a:r>
            <a:rPr lang="pt-BR" sz="1800" b="1" baseline="0"/>
            <a:t> RELATÓRIOS</a:t>
          </a:r>
          <a:endParaRPr lang="pt-BR" sz="1800" b="1"/>
        </a:p>
      </xdr:txBody>
    </xdr:sp>
    <xdr:clientData/>
  </xdr:twoCellAnchor>
  <xdr:twoCellAnchor>
    <xdr:from>
      <xdr:col>7</xdr:col>
      <xdr:colOff>53511</xdr:colOff>
      <xdr:row>6</xdr:row>
      <xdr:rowOff>96319</xdr:rowOff>
    </xdr:from>
    <xdr:to>
      <xdr:col>7</xdr:col>
      <xdr:colOff>2354494</xdr:colOff>
      <xdr:row>9</xdr:row>
      <xdr:rowOff>74915</xdr:rowOff>
    </xdr:to>
    <xdr:sp macro="[0]!Planilha1.limpar_planilh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BC98EB3-140F-2808-110F-C204A996EE08}"/>
            </a:ext>
          </a:extLst>
        </xdr:cNvPr>
        <xdr:cNvSpPr/>
      </xdr:nvSpPr>
      <xdr:spPr>
        <a:xfrm>
          <a:off x="18311545" y="1284268"/>
          <a:ext cx="2300983" cy="556518"/>
        </a:xfrm>
        <a:prstGeom prst="roundRect">
          <a:avLst/>
        </a:prstGeom>
        <a:solidFill>
          <a:srgbClr val="C0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 PLANILHA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ABA8D88-1417-469B-BC37-81DC1F208DBD}" name="Tabela1" displayName="Tabela1" ref="A1:I22" totalsRowShown="0" headerRowDxfId="8">
  <tableColumns count="9">
    <tableColumn id="1" xr3:uid="{4E2F5A2F-281C-4C41-AC1F-2DA008885209}" name="E-MAIL " totalsRowDxfId="7"/>
    <tableColumn id="2" xr3:uid="{35EE21F1-A99C-4239-A193-BF1DFC02C1E7}" name="CC" totalsRowDxfId="6" totalsRowCellStyle="Hiperlink"/>
    <tableColumn id="3" xr3:uid="{D65EF6AE-6BB8-4CA9-8D03-146E4004B47D}" name="RTV">
      <calculatedColumnFormula>MID(D2,1,SEARCH(" 12",D2))</calculatedColumnFormula>
    </tableColumn>
    <tableColumn id="4" xr3:uid="{E7104267-9F38-4B8D-9400-1B2F2DE57C23}" name="RELATÓRIO" totalsRowDxfId="5" totalsRowCellStyle="Moeda"/>
    <tableColumn id="5" xr3:uid="{48DEEB19-7456-470A-B4BD-36C5B2202C6E}" name="TEXTO" totalsRowDxfId="4"/>
    <tableColumn id="6" xr3:uid="{08084F69-1FF4-49C0-A26E-FCEBB874F740}" name="ENVIAR RELATÓRIO? " dataDxfId="3" totalsRowDxfId="2">
      <calculatedColumnFormula array="1">_xlfn.IFS(G2 = "SIM","NÃO",G2="-","SIM",G2="NÃO","NÃO")</calculatedColumnFormula>
    </tableColumn>
    <tableColumn id="7" xr3:uid="{3BD22A67-D21A-4555-BFC5-667D7801EE2D}" name="RELATÓRIO ENVIADO?" dataDxfId="1" totalsRowDxfId="0"/>
    <tableColumn id="8" xr3:uid="{C35922D2-8303-4294-A2FB-D37A465B5232}" name="DIRETÓRIO"/>
    <tableColumn id="9" xr3:uid="{0464D201-72F0-40C4-A42D-23F0150E65C8}" name="ASSUNTO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K22"/>
  <sheetViews>
    <sheetView showGridLines="0" tabSelected="1" zoomScale="91" zoomScaleNormal="91" workbookViewId="0">
      <selection activeCell="I3" sqref="I3"/>
    </sheetView>
  </sheetViews>
  <sheetFormatPr defaultColWidth="0" defaultRowHeight="15" x14ac:dyDescent="0.25"/>
  <cols>
    <col min="1" max="1" width="40" customWidth="1"/>
    <col min="2" max="2" width="40.5703125" customWidth="1"/>
    <col min="3" max="3" width="49.140625" bestFit="1" customWidth="1"/>
    <col min="4" max="4" width="71.28515625" bestFit="1" customWidth="1"/>
    <col min="5" max="5" width="85" bestFit="1" customWidth="1"/>
    <col min="6" max="6" width="23" customWidth="1"/>
    <col min="7" max="7" width="24.85546875" customWidth="1"/>
    <col min="8" max="8" width="114" bestFit="1" customWidth="1"/>
    <col min="9" max="9" width="58.85546875" customWidth="1"/>
    <col min="10" max="10" width="36.7109375" hidden="1" customWidth="1"/>
    <col min="11" max="11" width="0" hidden="1" customWidth="1"/>
    <col min="12" max="16384" width="9.140625" hidden="1"/>
  </cols>
  <sheetData>
    <row r="1" spans="1:10" s="2" customFormat="1" ht="16.5" customHeight="1" x14ac:dyDescent="0.25">
      <c r="A1" t="s">
        <v>0</v>
      </c>
      <c r="B1" t="s">
        <v>4</v>
      </c>
      <c r="C1" t="s">
        <v>1</v>
      </c>
      <c r="D1" t="s">
        <v>3</v>
      </c>
      <c r="E1" t="s">
        <v>2</v>
      </c>
      <c r="F1" s="1" t="s">
        <v>6</v>
      </c>
      <c r="G1" s="1" t="s">
        <v>7</v>
      </c>
      <c r="H1" s="1" t="s">
        <v>5</v>
      </c>
      <c r="I1" s="1" t="s">
        <v>8</v>
      </c>
    </row>
    <row r="2" spans="1:10" ht="15.75" customHeight="1" x14ac:dyDescent="0.25">
      <c r="C2" t="e">
        <f t="shared" ref="C2:C22" si="0">MID(D2,1,SEARCH(" 12",D2))</f>
        <v>#VALUE!</v>
      </c>
      <c r="E2" t="s">
        <v>10</v>
      </c>
      <c r="F2" s="4" t="str" cm="1">
        <f t="array" ref="F2">_xlfn.IFS(G2 = "SIM","NÃO",G2="-","SIM",G2="NÃO","NÃO")</f>
        <v>SIM</v>
      </c>
      <c r="G2" s="5" t="s">
        <v>9</v>
      </c>
      <c r="H2" s="3"/>
      <c r="I2" s="6" t="s">
        <v>11</v>
      </c>
    </row>
    <row r="3" spans="1:10" x14ac:dyDescent="0.25">
      <c r="C3" t="e">
        <f t="shared" si="0"/>
        <v>#VALUE!</v>
      </c>
      <c r="E3" t="s">
        <v>10</v>
      </c>
      <c r="F3" s="4" t="str" cm="1">
        <f t="array" ref="F3">_xlfn.IFS(G3 = "SIM","NÃO",G3="-","SIM",G3="NÃO","NÃO")</f>
        <v>SIM</v>
      </c>
      <c r="G3" s="5" t="s">
        <v>9</v>
      </c>
    </row>
    <row r="4" spans="1:10" x14ac:dyDescent="0.25">
      <c r="C4" t="e">
        <f t="shared" si="0"/>
        <v>#VALUE!</v>
      </c>
      <c r="E4" t="s">
        <v>10</v>
      </c>
      <c r="F4" s="4" t="str" cm="1">
        <f t="array" ref="F4">_xlfn.IFS(G4 = "SIM","NÃO",G4="-","SIM",G4="NÃO","NÃO")</f>
        <v>SIM</v>
      </c>
      <c r="G4" s="5" t="s">
        <v>9</v>
      </c>
    </row>
    <row r="5" spans="1:10" x14ac:dyDescent="0.25">
      <c r="C5" t="e">
        <f t="shared" si="0"/>
        <v>#VALUE!</v>
      </c>
      <c r="E5" t="s">
        <v>10</v>
      </c>
      <c r="F5" s="4" t="str" cm="1">
        <f t="array" ref="F5">_xlfn.IFS(G5 = "SIM","NÃO",G5="-","SIM",G5="NÃO","NÃO")</f>
        <v>SIM</v>
      </c>
      <c r="G5" s="5" t="s">
        <v>9</v>
      </c>
    </row>
    <row r="6" spans="1:10" x14ac:dyDescent="0.25">
      <c r="C6" t="e">
        <f t="shared" si="0"/>
        <v>#VALUE!</v>
      </c>
      <c r="E6" t="s">
        <v>10</v>
      </c>
      <c r="F6" s="4" t="str" cm="1">
        <f t="array" ref="F6">_xlfn.IFS(G6 = "SIM","NÃO",G6="-","SIM",G6="NÃO","NÃO")</f>
        <v>SIM</v>
      </c>
      <c r="G6" s="5" t="s">
        <v>9</v>
      </c>
    </row>
    <row r="7" spans="1:10" x14ac:dyDescent="0.25">
      <c r="C7" t="e">
        <f t="shared" si="0"/>
        <v>#VALUE!</v>
      </c>
      <c r="E7" t="s">
        <v>10</v>
      </c>
      <c r="F7" s="4" t="str" cm="1">
        <f t="array" ref="F7">_xlfn.IFS(G7 = "SIM","NÃO",G7="-","SIM",G7="NÃO","NÃO")</f>
        <v>SIM</v>
      </c>
      <c r="G7" s="5" t="s">
        <v>9</v>
      </c>
    </row>
    <row r="8" spans="1:10" x14ac:dyDescent="0.25">
      <c r="C8" t="e">
        <f t="shared" si="0"/>
        <v>#VALUE!</v>
      </c>
      <c r="E8" t="s">
        <v>10</v>
      </c>
      <c r="F8" s="4" t="str" cm="1">
        <f t="array" ref="F8">_xlfn.IFS(G8 = "SIM","NÃO",G8="-","SIM",G8="NÃO","NÃO")</f>
        <v>SIM</v>
      </c>
      <c r="G8" s="5" t="s">
        <v>9</v>
      </c>
    </row>
    <row r="9" spans="1:10" x14ac:dyDescent="0.25">
      <c r="C9" t="e">
        <f t="shared" si="0"/>
        <v>#VALUE!</v>
      </c>
      <c r="E9" t="s">
        <v>10</v>
      </c>
      <c r="F9" s="4" t="str" cm="1">
        <f t="array" ref="F9">_xlfn.IFS(G9 = "SIM","NÃO",G9="-","SIM",G9="NÃO","NÃO")</f>
        <v>SIM</v>
      </c>
      <c r="G9" s="5" t="s">
        <v>9</v>
      </c>
    </row>
    <row r="10" spans="1:10" x14ac:dyDescent="0.25">
      <c r="C10" t="e">
        <f t="shared" si="0"/>
        <v>#VALUE!</v>
      </c>
      <c r="E10" t="s">
        <v>10</v>
      </c>
      <c r="F10" s="4" t="str" cm="1">
        <f t="array" ref="F10">_xlfn.IFS(G10 = "SIM","NÃO",G10="-","SIM",G10="NÃO","NÃO")</f>
        <v>SIM</v>
      </c>
      <c r="G10" s="5" t="s">
        <v>9</v>
      </c>
    </row>
    <row r="11" spans="1:10" x14ac:dyDescent="0.25">
      <c r="C11" t="e">
        <f>MID(D11,1,SEARCH(" 12",D11))</f>
        <v>#VALUE!</v>
      </c>
      <c r="E11" t="s">
        <v>10</v>
      </c>
      <c r="F11" s="4" t="str" cm="1">
        <f t="array" ref="F11">_xlfn.IFS(G11 = "SIM","NÃO",G11="-","SIM",G11="NÃO","NÃO")</f>
        <v>SIM</v>
      </c>
      <c r="G11" s="5" t="s">
        <v>9</v>
      </c>
    </row>
    <row r="12" spans="1:10" x14ac:dyDescent="0.25">
      <c r="C12" t="e">
        <f t="shared" si="0"/>
        <v>#VALUE!</v>
      </c>
      <c r="E12" t="s">
        <v>10</v>
      </c>
      <c r="F12" s="4" t="str" cm="1">
        <f t="array" ref="F12">_xlfn.IFS(G12 = "SIM","NÃO",G12="-","SIM",G12="NÃO","NÃO")</f>
        <v>SIM</v>
      </c>
      <c r="G12" s="5" t="s">
        <v>9</v>
      </c>
    </row>
    <row r="13" spans="1:10" x14ac:dyDescent="0.25">
      <c r="C13" t="e">
        <f t="shared" si="0"/>
        <v>#VALUE!</v>
      </c>
      <c r="E13" t="s">
        <v>10</v>
      </c>
      <c r="F13" s="4" t="str" cm="1">
        <f t="array" ref="F13">_xlfn.IFS(G13 = "SIM","NÃO",G13="-","SIM",G13="NÃO","NÃO")</f>
        <v>SIM</v>
      </c>
      <c r="G13" s="5" t="s">
        <v>9</v>
      </c>
    </row>
    <row r="14" spans="1:10" x14ac:dyDescent="0.25">
      <c r="C14" t="e">
        <f t="shared" si="0"/>
        <v>#VALUE!</v>
      </c>
      <c r="E14" t="s">
        <v>10</v>
      </c>
      <c r="F14" s="4" t="str" cm="1">
        <f t="array" ref="F14">_xlfn.IFS(G14 = "SIM","NÃO",G14="-","SIM",G14="NÃO","NÃO")</f>
        <v>SIM</v>
      </c>
      <c r="G14" s="5" t="s">
        <v>9</v>
      </c>
      <c r="J14" t="str">
        <f t="shared" ref="J14:J19" si="1">TRIM(I14)</f>
        <v/>
      </c>
    </row>
    <row r="15" spans="1:10" x14ac:dyDescent="0.25">
      <c r="C15" t="e">
        <f t="shared" si="0"/>
        <v>#VALUE!</v>
      </c>
      <c r="E15" t="s">
        <v>10</v>
      </c>
      <c r="F15" s="4" t="str" cm="1">
        <f t="array" ref="F15">_xlfn.IFS(G15 = "SIM","NÃO",G15="-","SIM",G15="NÃO","NÃO")</f>
        <v>SIM</v>
      </c>
      <c r="G15" s="5" t="s">
        <v>9</v>
      </c>
      <c r="J15" t="str">
        <f t="shared" si="1"/>
        <v/>
      </c>
    </row>
    <row r="16" spans="1:10" x14ac:dyDescent="0.25">
      <c r="C16" t="e">
        <f t="shared" si="0"/>
        <v>#VALUE!</v>
      </c>
      <c r="E16" t="s">
        <v>10</v>
      </c>
      <c r="F16" s="4" t="str" cm="1">
        <f t="array" ref="F16">_xlfn.IFS(G16 = "SIM","NÃO",G16="-","SIM",G16="NÃO","NÃO")</f>
        <v>SIM</v>
      </c>
      <c r="G16" s="5" t="s">
        <v>9</v>
      </c>
      <c r="J16" t="str">
        <f t="shared" si="1"/>
        <v/>
      </c>
    </row>
    <row r="17" spans="3:10" x14ac:dyDescent="0.25">
      <c r="C17" t="e">
        <f t="shared" si="0"/>
        <v>#VALUE!</v>
      </c>
      <c r="E17" t="s">
        <v>10</v>
      </c>
      <c r="F17" s="4" t="str" cm="1">
        <f t="array" ref="F17">_xlfn.IFS(G17 = "SIM","NÃO",G17="-","SIM",G17="NÃO","NÃO")</f>
        <v>SIM</v>
      </c>
      <c r="G17" s="5" t="s">
        <v>9</v>
      </c>
      <c r="J17" t="str">
        <f t="shared" si="1"/>
        <v/>
      </c>
    </row>
    <row r="18" spans="3:10" x14ac:dyDescent="0.25">
      <c r="C18" t="e">
        <f t="shared" si="0"/>
        <v>#VALUE!</v>
      </c>
      <c r="E18" t="s">
        <v>10</v>
      </c>
      <c r="F18" s="4" t="str" cm="1">
        <f t="array" ref="F18">_xlfn.IFS(G18 = "SIM","NÃO",G18="-","SIM",G18="NÃO","NÃO")</f>
        <v>SIM</v>
      </c>
      <c r="G18" s="5" t="s">
        <v>9</v>
      </c>
      <c r="J18" t="str">
        <f t="shared" si="1"/>
        <v/>
      </c>
    </row>
    <row r="19" spans="3:10" x14ac:dyDescent="0.25">
      <c r="C19" t="e">
        <f t="shared" si="0"/>
        <v>#VALUE!</v>
      </c>
      <c r="E19" t="s">
        <v>10</v>
      </c>
      <c r="F19" s="4" t="str" cm="1">
        <f t="array" ref="F19">_xlfn.IFS(G19 = "SIM","NÃO",G19="-","SIM",G19="NÃO","NÃO")</f>
        <v>SIM</v>
      </c>
      <c r="G19" s="5" t="s">
        <v>9</v>
      </c>
      <c r="J19" t="str">
        <f t="shared" si="1"/>
        <v/>
      </c>
    </row>
    <row r="20" spans="3:10" x14ac:dyDescent="0.25">
      <c r="C20" t="e">
        <f t="shared" si="0"/>
        <v>#VALUE!</v>
      </c>
      <c r="E20" t="s">
        <v>10</v>
      </c>
      <c r="F20" s="4" t="str" cm="1">
        <f t="array" ref="F20">_xlfn.IFS(G20 = "SIM","NÃO",G20="-","SIM",G20="NÃO","NÃO")</f>
        <v>SIM</v>
      </c>
      <c r="G20" s="5" t="s">
        <v>9</v>
      </c>
    </row>
    <row r="21" spans="3:10" x14ac:dyDescent="0.25">
      <c r="C21" t="e">
        <f t="shared" si="0"/>
        <v>#VALUE!</v>
      </c>
      <c r="E21" t="s">
        <v>10</v>
      </c>
      <c r="F21" s="4" t="str" cm="1">
        <f t="array" ref="F21">_xlfn.IFS(G21 = "SIM","NÃO",G21="-","SIM",G21="NÃO","NÃO")</f>
        <v>SIM</v>
      </c>
      <c r="G21" s="5" t="s">
        <v>9</v>
      </c>
    </row>
    <row r="22" spans="3:10" x14ac:dyDescent="0.25">
      <c r="C22" t="e">
        <f t="shared" si="0"/>
        <v>#VALUE!</v>
      </c>
      <c r="E22" t="s">
        <v>10</v>
      </c>
      <c r="F22" s="4" t="str" cm="1">
        <f t="array" ref="F22">_xlfn.IFS(G22 = "SIM","NÃO",G22="-","SIM",G22="NÃO","NÃO")</f>
        <v>SIM</v>
      </c>
      <c r="G22" s="5" t="s">
        <v>9</v>
      </c>
    </row>
  </sheetData>
  <phoneticPr fontId="4" type="noConversion"/>
  <conditionalFormatting sqref="G2:G22">
    <cfRule type="cellIs" dxfId="12" priority="3" operator="equal">
      <formula>"NÃO"</formula>
    </cfRule>
    <cfRule type="cellIs" dxfId="11" priority="4" operator="equal">
      <formula>"SIM"</formula>
    </cfRule>
  </conditionalFormatting>
  <conditionalFormatting sqref="F2:F22">
    <cfRule type="cellIs" dxfId="10" priority="2" operator="equal">
      <formula>"NÃO"</formula>
    </cfRule>
  </conditionalFormatting>
  <conditionalFormatting sqref="F1:F1048576">
    <cfRule type="cellIs" dxfId="9" priority="1" operator="equal">
      <formula>"SIM"</formula>
    </cfRule>
  </conditionalFormatting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3f904a9-980e-4387-8267-c6fa67402910">
      <Terms xmlns="http://schemas.microsoft.com/office/infopath/2007/PartnerControls"/>
    </lcf76f155ced4ddcb4097134ff3c332f>
    <TaxCatchAll xmlns="289d373e-83c1-4089-9d64-35d48efc5f1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61306A4CD8C2C42B760FDD9CF9D39E2" ma:contentTypeVersion="13" ma:contentTypeDescription="Criar um novo documento." ma:contentTypeScope="" ma:versionID="4d8ee4808c95b79249f309289ea83920">
  <xsd:schema xmlns:xsd="http://www.w3.org/2001/XMLSchema" xmlns:xs="http://www.w3.org/2001/XMLSchema" xmlns:p="http://schemas.microsoft.com/office/2006/metadata/properties" xmlns:ns2="a3f904a9-980e-4387-8267-c6fa67402910" xmlns:ns3="289d373e-83c1-4089-9d64-35d48efc5f1f" targetNamespace="http://schemas.microsoft.com/office/2006/metadata/properties" ma:root="true" ma:fieldsID="59c7876b3e45df4ac5839320e8ef8387" ns2:_="" ns3:_="">
    <xsd:import namespace="a3f904a9-980e-4387-8267-c6fa67402910"/>
    <xsd:import namespace="289d373e-83c1-4089-9d64-35d48efc5f1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f904a9-980e-4387-8267-c6fa674029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15" nillable="true" ma:taxonomy="true" ma:internalName="lcf76f155ced4ddcb4097134ff3c332f" ma:taxonomyFieldName="MediaServiceImageTags" ma:displayName="Etiquetas de Imagem" ma:readOnly="false" ma:fieldId="{5cf76f15-5ced-4ddc-b409-7134ff3c332f}" ma:taxonomyMulti="true" ma:sspId="db4c44ef-fbc1-4085-bc81-2dc77c64a67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9d373e-83c1-4089-9d64-35d48efc5f1f" elementFormDefault="qualified">
    <xsd:import namespace="http://schemas.microsoft.com/office/2006/documentManagement/types"/>
    <xsd:import namespace="http://schemas.microsoft.com/office/infopath/2007/PartnerControls"/>
    <xsd:element name="TaxCatchAll" ma:index="16" nillable="true" ma:displayName="Taxonomy Catch All Column" ma:hidden="true" ma:list="{91ac5bca-0bab-4d9c-b141-b636af5c1c1f}" ma:internalName="TaxCatchAll" ma:showField="CatchAllData" ma:web="289d373e-83c1-4089-9d64-35d48efc5f1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hes de 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8112DD-CF32-4E69-8BB4-631235CCDC00}">
  <ds:schemaRefs>
    <ds:schemaRef ds:uri="http://schemas.microsoft.com/office/2006/metadata/properties"/>
    <ds:schemaRef ds:uri="http://schemas.microsoft.com/office/infopath/2007/PartnerControls"/>
    <ds:schemaRef ds:uri="a3f904a9-980e-4387-8267-c6fa67402910"/>
    <ds:schemaRef ds:uri="289d373e-83c1-4089-9d64-35d48efc5f1f"/>
  </ds:schemaRefs>
</ds:datastoreItem>
</file>

<file path=customXml/itemProps2.xml><?xml version="1.0" encoding="utf-8"?>
<ds:datastoreItem xmlns:ds="http://schemas.openxmlformats.org/officeDocument/2006/customXml" ds:itemID="{1205F66C-B327-42F6-B6BD-162AAFBCEB62}"/>
</file>

<file path=customXml/itemProps3.xml><?xml version="1.0" encoding="utf-8"?>
<ds:datastoreItem xmlns:ds="http://schemas.openxmlformats.org/officeDocument/2006/customXml" ds:itemID="{0C450A28-6C25-46EA-B8AF-FDB4A130AB5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AUTOMAÇÃO_RELATÓRIOS</vt:lpstr>
      <vt:lpstr>AUTOMACAO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Ferreira</dc:creator>
  <cp:lastModifiedBy>Pedro Henrique Ferreira</cp:lastModifiedBy>
  <dcterms:created xsi:type="dcterms:W3CDTF">2015-06-05T18:19:34Z</dcterms:created>
  <dcterms:modified xsi:type="dcterms:W3CDTF">2023-01-24T20:36:34Z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0x010100861306A4CD8C2C42B760FDD9CF9D39E2</vt:lpwstr>
  </property>
</Properties>
</file>